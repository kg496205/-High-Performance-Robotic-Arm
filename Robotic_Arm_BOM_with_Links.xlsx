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11b488598342c3" /></Relationships>
</file>

<file path=xl/workbook.xml><?xml version="1.0" encoding="utf-8"?>
<x:workbook xmlns:x="http://schemas.openxmlformats.org/spreadsheetml/2006/main">
  <x:sheets>
    <x:sheet xmlns:r="http://schemas.openxmlformats.org/officeDocument/2006/relationships" name="BOM" sheetId="1" r:id="R09be6bd689f0480e"/>
    <x:sheet xmlns:r="http://schemas.openxmlformats.org/officeDocument/2006/relationships" name="Summary" sheetId="2" r:id="R52aabd0d5d3146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quot;$&quot;#,##0.00"/>
  </x:numFmts>
  <x:fonts count="6">
    <x:font>
      <x:sz val="11"/>
      <x:name val="Carlito"/>
    </x:font>
    <x:font>
      <x:b/>
      <x:sz val="16"/>
      <x:color rgb="FFFFFFFF"/>
      <x:name val="Carlito"/>
    </x:font>
    <x:font>
      <x:i/>
      <x:sz val="10"/>
      <x:color rgb="FF243746"/>
      <x:name val="Carlito"/>
    </x:font>
    <x:font>
      <x:b/>
      <x:sz val="11"/>
      <x:color rgb="FFFFFFFF"/>
      <x:name val="Carlito"/>
    </x:font>
    <x:font>
      <x:sz val="11"/>
      <x:color rgb="FF0563C1"/>
      <x:name val="Carlito"/>
    </x:font>
    <x:font>
      <x:b/>
      <x:sz val="11"/>
      <x:name val="Carlito"/>
    </x:font>
  </x:fonts>
  <x:fills count="9">
    <x:fill>
      <x:patternFill patternType="none"/>
    </x:fill>
    <x:fill>
      <x:patternFill patternType="gray125"/>
    </x:fill>
    <x:fill>
      <x:patternFill patternType="solid">
        <x:fgColor rgb="FF16324F"/>
      </x:patternFill>
    </x:fill>
    <x:fill>
      <x:patternFill patternType="solid">
        <x:fgColor rgb="FFDDEBF7"/>
      </x:patternFill>
    </x:fill>
    <x:fill>
      <x:patternFill patternType="solid">
        <x:fgColor rgb="FF246A73"/>
      </x:patternFill>
    </x:fill>
    <x:fill>
      <x:patternFill patternType="solid">
        <x:fgColor rgb="FFF3F6FA"/>
      </x:patternFill>
    </x:fill>
    <x:fill>
      <x:patternFill patternType="solid">
        <x:fgColor rgb="FFD9EAD3"/>
      </x:patternFill>
    </x:fill>
    <x:fill>
      <x:patternFill patternType="solid">
        <x:fgColor rgb="FFFFF2CC"/>
      </x:patternFill>
    </x:fill>
    <x:fill>
      <x:patternFill patternType="solid">
        <x:fgColor rgb="FFFFF8E7"/>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5" fillId="7" borderId="0" xfId="0" applyNumberFormat="1" applyFont="1" applyFill="1" applyBorder="1"/>
    <x:xf numFmtId="0" fontId="5" fillId="7" borderId="1" xfId="0" applyNumberFormat="1" applyFont="1" applyFill="1" applyBorder="1"/>
    <x:xf numFmtId="200" fontId="0" fillId="5" borderId="0" xfId="0" applyNumberFormat="1" applyFont="1" applyFill="1" applyBorder="1"/>
    <x:xf numFmtId="200" fontId="5" fillId="6" borderId="0" xfId="0" applyNumberFormat="1" applyFont="1" applyFill="1" applyBorder="1"/>
    <x:xf numFmtId="200" fontId="5" fillId="7" borderId="0" xfId="0" applyNumberFormat="1" applyFont="1" applyFill="1" applyBorder="1"/>
    <x:xf numFmtId="200" fontId="0" fillId="5" borderId="1" xfId="0" applyNumberFormat="1" applyFont="1" applyFill="1" applyBorder="1"/>
    <x:xf numFmtId="200" fontId="5" fillId="6" borderId="1" xfId="0" applyNumberFormat="1" applyFont="1" applyFill="1" applyBorder="1"/>
    <x:xf numFmtId="200" fontId="5" fillId="7"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0" fillId="8" borderId="0" xfId="0" applyNumberFormat="1" applyFont="1" applyFill="1" applyBorder="1" applyAlignment="1">
      <x:alignment wrapText="1"/>
    </x:xf>
    <x:xf numFmtId="0" fontId="0" fillId="8"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4300c568024fd6" /><Relationship Type="http://schemas.openxmlformats.org/officeDocument/2006/relationships/theme" Target="/xl/theme/theme1.xml" Id="R87db91be4eee4958" /><Relationship Type="http://schemas.openxmlformats.org/officeDocument/2006/relationships/sharedStrings" Target="/xl/sharedStrings.xml" Id="R7073f0b732ac4866" /><Relationship Type="http://schemas.openxmlformats.org/officeDocument/2006/relationships/worksheet" Target="/xl/worksheets/sheet1.xml" Id="R09be6bd689f0480e" /><Relationship Type="http://schemas.openxmlformats.org/officeDocument/2006/relationships/worksheet" Target="/xl/worksheets/sheet2.xml" Id="R52aabd0d5d3146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5" hidden="0" customWidth="1"/>
    <x:col min="2" max="2" width="34" hidden="0" customWidth="1"/>
    <x:col min="3" max="3" width="42" hidden="0" customWidth="1"/>
    <x:col min="4" max="4" width="8" hidden="0" customWidth="1"/>
    <x:col min="5" max="5" width="15" hidden="0" customWidth="1"/>
    <x:col min="6" max="6" width="16" hidden="0" customWidth="1"/>
    <x:col min="7" max="7" width="22" hidden="0" customWidth="1"/>
    <x:col min="8" max="8" width="48" hidden="0" customWidth="1"/>
    <x:col min="9" max="9" width="38" hidden="0" customWidth="1"/>
  </x:cols>
  <x:sheetData>
    <x:row r="1" ht="32" customHeight="1">
      <x:c r="A1" s="6" t="str">
        <x:v>ROBOTIC ARM — BILL OF MATERIALS (BOM)</x:v>
      </x:c>
      <x:c r="B1" s="6"/>
      <x:c r="C1" s="6"/>
      <x:c r="D1" s="6"/>
      <x:c r="E1" s="6"/>
      <x:c r="F1" s="6"/>
      <x:c r="G1" s="6"/>
      <x:c r="H1" s="6"/>
      <x:c r="I1" s="6"/>
    </x:row>
    <x:row r="2" ht="28" customHeight="1">
      <x:c r="A2" s="12" t="str">
        <x:v>Tier 3 funding budget: $100.00 USD | Prices below are the supplied estimate; link prices may differ.</x:v>
      </x:c>
      <x:c r="B2" s="12"/>
      <x:c r="C2" s="12"/>
      <x:c r="D2" s="12"/>
      <x:c r="E2" s="12"/>
      <x:c r="F2" s="12"/>
      <x:c r="G2" s="12"/>
      <x:c r="H2" s="12"/>
      <x:c r="I2" s="12"/>
    </x:row>
    <x:row r="4" ht="30" customHeight="1">
      <x:c r="A4" s="20" t="str">
        <x:v>#</x:v>
      </x:c>
      <x:c r="B4" s="20" t="str">
        <x:v>Part / Item</x:v>
      </x:c>
      <x:c r="C4" s="20" t="str">
        <x:v>Purpose / Function</x:v>
      </x:c>
      <x:c r="D4" s="20" t="str">
        <x:v>Qty</x:v>
      </x:c>
      <x:c r="E4" s="20" t="str">
        <x:v>Unit Cost (USD)</x:v>
      </x:c>
      <x:c r="F4" s="20" t="str">
        <x:v>Line Total (USD)</x:v>
      </x:c>
      <x:c r="G4" s="20" t="str">
        <x:v>Vendor (as listed)</x:v>
      </x:c>
      <x:c r="H4" s="20" t="str">
        <x:v>Purchase Link (URL)</x:v>
      </x:c>
      <x:c r="I4" s="20" t="str">
        <x:v>Link Note</x:v>
      </x:c>
    </x:row>
    <x:row r="5" ht="46" customHeight="1">
      <x:c r="A5" s="24" t="n">
        <x:v>1</x:v>
      </x:c>
      <x:c r="B5" s="24" t="str">
        <x:v>ESP32 NodeMCU 30-Pin CP2102</x:v>
      </x:c>
      <x:c r="C5" s="24" t="str">
        <x:v>Main controller for five stepper motors, gripper servo, and limit switches</x:v>
      </x:c>
      <x:c r="D5" s="24" t="n">
        <x:v>1</x:v>
      </x:c>
      <x:c r="E5" s="26" t="n">
        <x:v>4.52</x:v>
      </x:c>
      <x:c r="F5" s="26" t="n">
        <x:f>D5*E5</x:f>
        <x:v>4.52</x:v>
      </x:c>
      <x:c r="G5" s="24" t="str">
        <x:v>Robocraze</x:v>
      </x:c>
      <x:c r="H5" s="28" t="str">
        <x:v>https://robocraze.com/products/nodemcu-32-wifi-bluetooth-esp32-development-board30-pin</x:v>
      </x:c>
      <x:c r="I5" s="24" t="str">
        <x:v>Direct product page</x:v>
      </x:c>
    </x:row>
    <x:row r="6" ht="46" customHeight="1">
      <x:c r="A6" s="24" t="n">
        <x:v>2</x:v>
      </x:c>
      <x:c r="B6" s="24" t="str">
        <x:v>NEMA17 4.2 kg·cm stepper motor</x:v>
      </x:c>
      <x:c r="C6" s="24" t="str">
        <x:v>Joint/axis movement for the robotic arm</x:v>
      </x:c>
      <x:c r="D6" s="24" t="n">
        <x:v>5</x:v>
      </x:c>
      <x:c r="E6" s="26" t="n">
        <x:v>4.87</x:v>
      </x:c>
      <x:c r="F6" s="26" t="n">
        <x:f>D6*E6</x:f>
        <x:v>24.35</x:v>
      </x:c>
      <x:c r="G6" s="24" t="str">
        <x:v>Robokits</x:v>
      </x:c>
      <x:c r="H6" s="28" t="str">
        <x:v>https://robokits.co.in/motors/stepper-motor/stepper-motor-without-gearbox/nema17-4.2kgcm-stepper-motor-with-d-shaft-premium?cPath=364_366</x:v>
      </x:c>
      <x:c r="I6" s="24" t="str">
        <x:v>Direct product page</x:v>
      </x:c>
    </x:row>
    <x:row r="7" ht="46" customHeight="1">
      <x:c r="A7" s="24" t="n">
        <x:v>3</x:v>
      </x:c>
      <x:c r="B7" s="24" t="str">
        <x:v>DRV8825 stepper driver</x:v>
      </x:c>
      <x:c r="C7" s="24" t="str">
        <x:v>One driver per stepper motor; set current limit for each motor</x:v>
      </x:c>
      <x:c r="D7" s="24" t="n">
        <x:v>5</x:v>
      </x:c>
      <x:c r="E7" s="26" t="n">
        <x:v>1.49</x:v>
      </x:c>
      <x:c r="F7" s="26" t="n">
        <x:f>D7*E7</x:f>
        <x:v>7.45</x:v>
      </x:c>
      <x:c r="G7" s="24" t="str">
        <x:v>Tectnomate</x:v>
      </x:c>
      <x:c r="H7" s="28" t="str">
        <x:v>https://www.google.com/search?q=Tectnomate%20DRV8825%20stepper%20driver%20module%20India</x:v>
      </x:c>
      <x:c r="I7" s="24" t="str">
        <x:v>Vendor/item search; exact page not verified</x:v>
      </x:c>
    </x:row>
    <x:row r="8" ht="46" customHeight="1">
      <x:c r="A8" s="24" t="n">
        <x:v>4</x:v>
      </x:c>
      <x:c r="B8" s="24" t="str">
        <x:v>SG90 9 g mini servo</x:v>
      </x:c>
      <x:c r="C8" s="24" t="str">
        <x:v>Opens and closes the robotic gripper</x:v>
      </x:c>
      <x:c r="D8" s="24" t="n">
        <x:v>1</x:v>
      </x:c>
      <x:c r="E8" s="26" t="n">
        <x:v>1.03</x:v>
      </x:c>
      <x:c r="F8" s="26" t="n">
        <x:f>D8*E8</x:f>
        <x:v>1.03</x:v>
      </x:c>
      <x:c r="G8" s="24" t="str">
        <x:v>Robokits India</x:v>
      </x:c>
      <x:c r="H8" s="28" t="str">
        <x:v>https://www.google.com/search?q=site%3Arobokits.co.in%20SG90%209G%20mini%20servo%20180%20degree</x:v>
      </x:c>
      <x:c r="I8" s="24" t="str">
        <x:v>Search link; choose standard positional servo for a gripper</x:v>
      </x:c>
    </x:row>
    <x:row r="9" ht="46" customHeight="1">
      <x:c r="A9" s="24" t="n">
        <x:v>5</x:v>
      </x:c>
      <x:c r="B9" s="24" t="str">
        <x:v>Industrial power supply 12 V 10 A 120 W</x:v>
      </x:c>
      <x:c r="C9" s="24" t="str">
        <x:v>Powers the five stepper motor drivers</x:v>
      </x:c>
      <x:c r="D9" s="24" t="n">
        <x:v>1</x:v>
      </x:c>
      <x:c r="E9" s="26" t="n">
        <x:v>7.84</x:v>
      </x:c>
      <x:c r="F9" s="26" t="n">
        <x:f>D9*E9</x:f>
        <x:v>7.84</x:v>
      </x:c>
      <x:c r="G9" s="24" t="str">
        <x:v>Robokits India</x:v>
      </x:c>
      <x:c r="H9" s="28" t="str">
        <x:v>https://robokits.co.in/power-supply/industrial-power-supply/industrial-power-supply-12v-10a-120w-premium?cPath=2_71_667</x:v>
      </x:c>
      <x:c r="I9" s="24" t="str">
        <x:v>Direct product page</x:v>
      </x:c>
    </x:row>
    <x:row r="10" ht="46" customHeight="1">
      <x:c r="A10" s="24" t="n">
        <x:v>6</x:v>
      </x:c>
      <x:c r="B10" s="24" t="str">
        <x:v>3D printer mechanical limit switch module</x:v>
      </x:c>
      <x:c r="C10" s="24" t="str">
        <x:v>Home/end-position sensing; one switch per axis where needed</x:v>
      </x:c>
      <x:c r="D10" s="24" t="n">
        <x:v>5</x:v>
      </x:c>
      <x:c r="E10" s="26" t="n">
        <x:v>0.41</x:v>
      </x:c>
      <x:c r="F10" s="26" t="n">
        <x:f>D10*E10</x:f>
        <x:v>2.05</x:v>
      </x:c>
      <x:c r="G10" s="24" t="str">
        <x:v>Robokits India</x:v>
      </x:c>
      <x:c r="H10" s="28" t="str">
        <x:v>https://robokits.co.in/3d-printer/electronics/3d-printer-mechanical-limit-switch-module</x:v>
      </x:c>
      <x:c r="I10" s="24" t="str">
        <x:v>Direct product page</x:v>
      </x:c>
    </x:row>
    <x:row r="11" ht="46" customHeight="1">
      <x:c r="A11" s="24" t="n">
        <x:v>7</x:v>
      </x:c>
      <x:c r="B11" s="24" t="str">
        <x:v>GT2 timing belt, 2 mm pitch, 1 m</x:v>
      </x:c>
      <x:c r="C11" s="24" t="str">
        <x:v>Belt transmission for selected motor-driven joints</x:v>
      </x:c>
      <x:c r="D11" s="24" t="n">
        <x:v>2</x:v>
      </x:c>
      <x:c r="E11" s="26" t="n">
        <x:v>0.48</x:v>
      </x:c>
      <x:c r="F11" s="26" t="n">
        <x:f>D11*E11</x:f>
        <x:v>0.96</x:v>
      </x:c>
      <x:c r="G11" s="24" t="str">
        <x:v>Robokits India</x:v>
      </x:c>
      <x:c r="H11" s="28" t="str">
        <x:v>https://robokits.co.in/3d-printer/accessories/gt2-timing-belt-2mm-pitch-1meter?cPath=67_550</x:v>
      </x:c>
      <x:c r="I11" s="24" t="str">
        <x:v>Direct product page</x:v>
      </x:c>
    </x:row>
    <x:row r="12" ht="46" customHeight="1">
      <x:c r="A12" s="24" t="n">
        <x:v>8</x:v>
      </x:c>
      <x:c r="B12" s="24" t="str">
        <x:v>F688ZZ flanged shielded ball bearing</x:v>
      </x:c>
      <x:c r="C12" s="24" t="str">
        <x:v>Supports rotating joints/arm platform</x:v>
      </x:c>
      <x:c r="D12" s="24" t="n">
        <x:v>12</x:v>
      </x:c>
      <x:c r="E12" s="26" t="n">
        <x:v>0.27</x:v>
      </x:c>
      <x:c r="F12" s="26" t="n">
        <x:f>D12*E12</x:f>
        <x:v>3.24</x:v>
      </x:c>
      <x:c r="G12" s="24" t="str">
        <x:v>Robokits India</x:v>
      </x:c>
      <x:c r="H12" s="28" t="str">
        <x:v>https://robokits.co.in/3d-printer/accessories/f688zz-flanged-shielded-deep-groove-ball-bearing</x:v>
      </x:c>
      <x:c r="I12" s="24" t="str">
        <x:v>Direct product page</x:v>
      </x:c>
    </x:row>
    <x:row r="13" ht="46" customHeight="1">
      <x:c r="A13" s="24" t="n">
        <x:v>9</x:v>
      </x:c>
      <x:c r="B13" s="24" t="str">
        <x:v>Aluminium flexible shaft coupling, 5 mm to 8 mm</x:v>
      </x:c>
      <x:c r="C13" s="24" t="str">
        <x:v>Couples a motor shaft to a compatible 8 mm shaft</x:v>
      </x:c>
      <x:c r="D13" s="24" t="n">
        <x:v>3</x:v>
      </x:c>
      <x:c r="E13" s="26" t="n">
        <x:v>0.57</x:v>
      </x:c>
      <x:c r="F13" s="26" t="n">
        <x:f>D13*E13</x:f>
        <x:v>1.71</x:v>
      </x:c>
      <x:c r="G13" s="24" t="str">
        <x:v>Robokits India</x:v>
      </x:c>
      <x:c r="H13" s="28" t="str">
        <x:v>https://robokits.co.in/3d-printer/accessories/aluminium-flexible-shaft-coupling-5mm-to-8mm?cPath=448_601</x:v>
      </x:c>
      <x:c r="I13" s="24" t="str">
        <x:v>Direct product page</x:v>
      </x:c>
    </x:row>
    <x:row r="14" ht="46" customHeight="1">
      <x:c r="A14" s="24" t="n">
        <x:v>10</x:v>
      </x:c>
      <x:c r="B14" s="24" t="str">
        <x:v>Design Plus DP 8 ft × 4 ft × 6 mm MR plywood</x:v>
      </x:c>
      <x:c r="C14" s="24" t="str">
        <x:v>Structural frame, arm links, joint plates, and base parts</x:v>
      </x:c>
      <x:c r="D14" s="24" t="n">
        <x:v>1</x:v>
      </x:c>
      <x:c r="E14" s="26" t="n">
        <x:v>9.65</x:v>
      </x:c>
      <x:c r="F14" s="26" t="n">
        <x:f>D14*E14</x:f>
        <x:v>9.65</x:v>
      </x:c>
      <x:c r="G14" s="24" t="str">
        <x:v>IBO.com</x:v>
      </x:c>
      <x:c r="H14" s="28" t="str">
        <x:v>https://www.ibo.com/design-plus-dp-8-ft-x-4-ft-6-mm-mr-plywood/p/E5ZRNQK01T</x:v>
      </x:c>
      <x:c r="I14" s="24" t="str">
        <x:v>Direct product page; delivery availability depends on PIN code</x:v>
      </x:c>
    </x:row>
    <x:row r="15" ht="46" customHeight="1">
      <x:c r="A15" s="24" t="n">
        <x:v>11</x:v>
      </x:c>
      <x:c r="B15" s="24" t="str">
        <x:v>MPU6050 6-axis gyroscope/accelerometer module</x:v>
      </x:c>
      <x:c r="C15" s="24" t="str">
        <x:v>Measures angular motion/orientation for feedback experiments</x:v>
      </x:c>
      <x:c r="D15" s="24" t="n">
        <x:v>1</x:v>
      </x:c>
      <x:c r="E15" s="26" t="n">
        <x:v>1.8</x:v>
      </x:c>
      <x:c r="F15" s="26" t="n">
        <x:f>D15*E15</x:f>
        <x:v>1.8</x:v>
      </x:c>
      <x:c r="G15" s="24" t="str">
        <x:v>Robokits India</x:v>
      </x:c>
      <x:c r="H15" s="28" t="str">
        <x:v>https://www.google.com/search?q=site%3Arobokits.co.in%20MPU6050%206-axis%20module</x:v>
      </x:c>
      <x:c r="I15" s="24" t="str">
        <x:v>Vendor/item search; exact page not verified</x:v>
      </x:c>
    </x:row>
    <x:row r="16" ht="46" customHeight="1">
      <x:c r="A16" s="24" t="n">
        <x:v>12</x:v>
      </x:c>
      <x:c r="B16" s="24" t="str">
        <x:v>LM2596 adjustable DC-DC step-down module</x:v>
      </x:c>
      <x:c r="C16" s="24" t="str">
        <x:v>Creates a lower DC voltage for low-voltage electronics; set output before connecting</x:v>
      </x:c>
      <x:c r="D16" s="24" t="n">
        <x:v>1</x:v>
      </x:c>
      <x:c r="E16" s="26" t="n">
        <x:v>0.47</x:v>
      </x:c>
      <x:c r="F16" s="26" t="n">
        <x:f>D16*E16</x:f>
        <x:v>0.47</x:v>
      </x:c>
      <x:c r="G16" s="24" t="str">
        <x:v>Robokits India</x:v>
      </x:c>
      <x:c r="H16" s="28" t="str">
        <x:v>https://www.google.com/search?q=site%3Arobokits.co.in%20LM2596%20adjustable%20step%20down%20module</x:v>
      </x:c>
      <x:c r="I16" s="24" t="str">
        <x:v>Vendor/item search; exact listing may vary by version</x:v>
      </x:c>
    </x:row>
    <x:row r="17" ht="46" customHeight="1">
      <x:c r="A17" s="24" t="n">
        <x:v>13</x:v>
      </x:c>
      <x:c r="B17" s="24" t="str">
        <x:v>NEMA17 stepper holder/bracket mount</x:v>
      </x:c>
      <x:c r="C17" s="24" t="str">
        <x:v>Mounts each stepper motor securely to the frame</x:v>
      </x:c>
      <x:c r="D17" s="24" t="n">
        <x:v>5</x:v>
      </x:c>
      <x:c r="E17" s="26" t="n">
        <x:v>1.55</x:v>
      </x:c>
      <x:c r="F17" s="26" t="n">
        <x:f>D17*E17</x:f>
        <x:v>7.75</x:v>
      </x:c>
      <x:c r="G17" s="24" t="str">
        <x:v>Robokits India / mild steel</x:v>
      </x:c>
      <x:c r="H17" s="28" t="str">
        <x:v>https://robokits.co.in/motors/dc-motor/mounting-clamps/nema17-stepper-holder-bracket-mount</x:v>
      </x:c>
      <x:c r="I17" s="24" t="str">
        <x:v>Direct product page</x:v>
      </x:c>
    </x:row>
    <x:row r="18" ht="46" customHeight="1">
      <x:c r="A18" s="24" t="n">
        <x:v>14</x:v>
      </x:c>
      <x:c r="B18" s="24" t="str">
        <x:v>GT2 synchronous timing pulley, 60T</x:v>
      </x:c>
      <x:c r="C18" s="24" t="str">
        <x:v>Belt reduction at selected joints for increased torque</x:v>
      </x:c>
      <x:c r="D18" s="24" t="n">
        <x:v>2</x:v>
      </x:c>
      <x:c r="E18" s="26" t="n">
        <x:v>2.28</x:v>
      </x:c>
      <x:c r="F18" s="26" t="n">
        <x:f>D18*E18</x:f>
        <x:v>4.56</x:v>
      </x:c>
      <x:c r="G18" s="24" t="str">
        <x:v>Robokits India</x:v>
      </x:c>
      <x:c r="H18" s="28" t="str">
        <x:v>https://robokits.co.in/automation-control-cnc/gt-timing-wheels-pulley-and-belt/gt2-synchronous-wheel-timing-pulley-60t</x:v>
      </x:c>
      <x:c r="I18" s="24" t="str">
        <x:v>Direct product page; confirm bore size matches shaft</x:v>
      </x:c>
    </x:row>
    <x:row r="19" ht="46" customHeight="1">
      <x:c r="A19" s="24" t="n">
        <x:v>15</x:v>
      </x:c>
      <x:c r="B19" s="24" t="str">
        <x:v>8 mm steel shaft/rod</x:v>
      </x:c>
      <x:c r="C19" s="24" t="str">
        <x:v>Joint axles and mechanical supports</x:v>
      </x:c>
      <x:c r="D19" s="24" t="n">
        <x:v>2</x:v>
      </x:c>
      <x:c r="E19" s="26" t="n">
        <x:v>2.39</x:v>
      </x:c>
      <x:c r="F19" s="26" t="n">
        <x:f>D19*E19</x:f>
        <x:v>4.78</x:v>
      </x:c>
      <x:c r="G19" s="24" t="str">
        <x:v>Inventosales.com</x:v>
      </x:c>
      <x:c r="H19" s="28" t="str">
        <x:v>https://www.google.com/search?q=site%3Ainventosales.com%208mm%20steel%20shaft%20rod</x:v>
      </x:c>
      <x:c r="I19" s="24" t="str">
        <x:v>Vendor/item search; exact page not verified</x:v>
      </x:c>
    </x:row>
    <x:row r="20" ht="46" customHeight="1">
      <x:c r="A20" s="24" t="n">
        <x:v>16</x:v>
      </x:c>
      <x:c r="B20" s="24" t="str">
        <x:v>M3/M4/M5 nut-bolt-washer assortment kit</x:v>
      </x:c>
      <x:c r="C20" s="24" t="str">
        <x:v>Fasteners for frame, motor mounts, joints, and mechanical parts</x:v>
      </x:c>
      <x:c r="D20" s="24" t="n">
        <x:v>1</x:v>
      </x:c>
      <x:c r="E20" s="26" t="n">
        <x:v>4.87</x:v>
      </x:c>
      <x:c r="F20" s="26" t="n">
        <x:f>D20*E20</x:f>
        <x:v>4.87</x:v>
      </x:c>
      <x:c r="G20" s="24" t="str">
        <x:v>OnlyScrews</x:v>
      </x:c>
      <x:c r="H20" s="28" t="str">
        <x:v>https://onlyscrews.in/products/hexallen-button-head-assorted-screw-pack-ss304</x:v>
      </x:c>
      <x:c r="I20" s="24" t="str">
        <x:v>Direct assortment product page</x:v>
      </x:c>
    </x:row>
    <x:row r="21" ht="46" customHeight="1">
      <x:c r="A21" s="24" t="n">
        <x:v>17</x:v>
      </x:c>
      <x:c r="B21" s="24" t="str">
        <x:v>6-pin Relimate/JST connector set with wire</x:v>
      </x:c>
      <x:c r="C21" s="24" t="str">
        <x:v>Detachable wiring for sensors, switches, and low-voltage controls</x:v>
      </x:c>
      <x:c r="D21" s="24" t="n">
        <x:v>5</x:v>
      </x:c>
      <x:c r="E21" s="26" t="n">
        <x:v>0.13</x:v>
      </x:c>
      <x:c r="F21" s="26" t="n">
        <x:f>D21*E21</x:f>
        <x:v>0.65</x:v>
      </x:c>
      <x:c r="G21" s="24" t="str">
        <x:v>Electron Components</x:v>
      </x:c>
      <x:c r="H21" s="28" t="str">
        <x:v>https://www.electroncomponents.com/6pin-relimate-rmc-connector-creame-with-wire-male-female</x:v>
      </x:c>
      <x:c r="I21" s="24" t="str">
        <x:v>Direct product page</x:v>
      </x:c>
    </x:row>
    <x:row r="22" ht="46" customHeight="1">
      <x:c r="A22" s="24" t="n">
        <x:v>18</x:v>
      </x:c>
      <x:c r="B22" s="24" t="str">
        <x:v>GT2 20T pulley, 5 mm bore</x:v>
      </x:c>
      <x:c r="C22" s="24" t="str">
        <x:v>Motor-side pulley for belt transmission</x:v>
      </x:c>
      <x:c r="D22" s="24" t="n">
        <x:v>6</x:v>
      </x:c>
      <x:c r="E22" s="26" t="n">
        <x:v>1.5</x:v>
      </x:c>
      <x:c r="F22" s="26" t="n">
        <x:f>D22*E22</x:f>
        <x:v>9</x:v>
      </x:c>
      <x:c r="G22" s="24" t="str">
        <x:v>Makerbazar.in</x:v>
      </x:c>
      <x:c r="H22" s="28" t="str">
        <x:v>https://www.google.com/search?q=site%3Amakerbazar.in%20GT2%2020T%205mm%20bore%20pulley</x:v>
      </x:c>
      <x:c r="I22" s="24" t="str">
        <x:v>Vendor/item search; verify bore and belt width before buying</x:v>
      </x:c>
    </x:row>
    <x:row r="23" ht="46" customHeight="1">
      <x:c r="A23" s="24" t="n">
        <x:v>19</x:v>
      </x:c>
      <x:c r="B23" s="24" t="str">
        <x:v>20 cm mixed M-M / M-F / F-F jumper wires</x:v>
      </x:c>
      <x:c r="C23" s="24" t="str">
        <x:v>Low-voltage signal/prototype connections</x:v>
      </x:c>
      <x:c r="D23" s="24" t="n">
        <x:v>1</x:v>
      </x:c>
      <x:c r="E23" s="26" t="n">
        <x:v>2.29</x:v>
      </x:c>
      <x:c r="F23" s="26" t="n">
        <x:f>D23*E23</x:f>
        <x:v>2.29</x:v>
      </x:c>
      <x:c r="G23" s="24" t="str">
        <x:v>Amazon India</x:v>
      </x:c>
      <x:c r="H23" s="28" t="str">
        <x:v>https://www.amazon.in/s?k=20cm%20jumper%20wires%20male%20male%20male%20female%20female%20female</x:v>
      </x:c>
      <x:c r="I23" s="24" t="str">
        <x:v>Amazon search results; select matching wire set</x:v>
      </x:c>
    </x:row>
    <x:row r="25">
      <x:c r="A25" s="30" t="str">
        <x:v>BUDGET SUMMARY</x:v>
      </x:c>
      <x:c r="B25" s="30"/>
      <x:c r="C25" s="30"/>
    </x:row>
    <x:row r="26">
      <x:c r="A26" s="32" t="str">
        <x:v>Materials subtotal</x:v>
      </x:c>
      <x:c r="B26" s="42" t="n">
        <x:f>SUM(F5:F23)</x:f>
        <x:v>98.97000000000001</x:v>
      </x:c>
    </x:row>
    <x:row r="27">
      <x:c r="A27" s="32" t="str">
        <x:v>Tax &amp; shipping (provided)</x:v>
      </x:c>
      <x:c r="B27" s="42" t="n">
        <x:v>0</x:v>
      </x:c>
    </x:row>
    <x:row r="28">
      <x:c r="A28" s="36" t="str">
        <x:v>Grand total</x:v>
      </x:c>
      <x:c r="B28" s="43" t="n">
        <x:f>B26+B27</x:f>
        <x:v>98.97000000000001</x:v>
      </x:c>
    </x:row>
    <x:row r="29">
      <x:c r="A29" s="32" t="str">
        <x:v>Tier 3 funding limit</x:v>
      </x:c>
      <x:c r="B29" s="42" t="n">
        <x:v>100</x:v>
      </x:c>
    </x:row>
    <x:row r="30">
      <x:c r="A30" s="40" t="str">
        <x:v>Budget remaining</x:v>
      </x:c>
      <x:c r="B30" s="44" t="n">
        <x:f>B29-B28</x:f>
        <x:v>1.029999999999987</x:v>
      </x:c>
    </x:row>
    <x:row r="32" ht="36" customHeight="1">
      <x:c r="A32" s="50" t="str">
        <x:v>Notes: Direct product pages are included when found. Search links are clearly marked where an exact vendor listing could not be verified. Confirm current price, stock, delivery, bore sizes, and compatibility before ordering.</x:v>
      </x:c>
      <x:c r="B32" s="50"/>
      <x:c r="C32" s="50"/>
      <x:c r="D32" s="50"/>
      <x:c r="E32" s="50"/>
      <x:c r="F32" s="50"/>
      <x:c r="G32" s="50"/>
      <x:c r="H32" s="50"/>
      <x:c r="I32" s="50"/>
    </x:row>
    <x:row r="33" ht="36" customHeight="1">
      <x:c r="A33" s="50" t="str">
        <x:v>Safety/compatibility note: set each DRV8825 current limit to suit the motor and provide cooling as needed. Power ESP32 and servo from an appropriate regulated supply; do not connect them to the stepper driver's motor-voltage rail.</x:v>
      </x:c>
      <x:c r="B33" s="50"/>
      <x:c r="C33" s="50"/>
      <x:c r="D33" s="50"/>
      <x:c r="E33" s="50"/>
      <x:c r="F33" s="50"/>
      <x:c r="G33" s="50"/>
      <x:c r="H33" s="50"/>
      <x:c r="I33" s="50"/>
    </x:row>
  </x:sheetData>
  <x:mergeCells>
    <x:mergeCell ref="A1:I1"/>
    <x:mergeCell ref="A2:I2"/>
    <x:mergeCell ref="A25:C25"/>
    <x:mergeCell ref="A32:I32"/>
    <x:mergeCell ref="A33:I33"/>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24" hidden="0" customWidth="1"/>
    <x:col min="3" max="3" width="18" hidden="0" customWidth="1"/>
    <x:col min="4" max="4" width="18" hidden="0" customWidth="1"/>
  </x:cols>
  <x:sheetData>
    <x:row r="1" ht="34" customHeight="1">
      <x:c r="A1" s="6" t="str">
        <x:v>ROBOTIC ARM BOM — COST SUMMARY</x:v>
      </x:c>
      <x:c r="B1" s="6"/>
      <x:c r="C1" s="6"/>
      <x:c r="D1" s="6"/>
    </x:row>
    <x:row r="3">
      <x:c r="A3" s="32" t="str">
        <x:v>Funding tier</x:v>
      </x:c>
      <x:c r="B3" s="32" t="str">
        <x:v>Tier 3</x:v>
      </x:c>
    </x:row>
    <x:row r="4">
      <x:c r="A4" s="32" t="str">
        <x:v>Funding budget (USD)</x:v>
      </x:c>
      <x:c r="B4" s="42" t="n">
        <x:v>100</x:v>
      </x:c>
    </x:row>
    <x:row r="5">
      <x:c r="A5" s="32" t="str">
        <x:v>Parts subtotal (USD)</x:v>
      </x:c>
      <x:c r="B5" s="42" t="n">
        <x:f>BOM!B26</x:f>
        <x:v>98.97000000000001</x:v>
      </x:c>
    </x:row>
    <x:row r="6">
      <x:c r="A6" s="32" t="str">
        <x:v>Tax &amp; shipping (USD)</x:v>
      </x:c>
      <x:c r="B6" s="42" t="n">
        <x:v>0</x:v>
      </x:c>
    </x:row>
    <x:row r="7">
      <x:c r="A7" s="36" t="str">
        <x:v>Total (USD)</x:v>
      </x:c>
      <x:c r="B7" s="43" t="n">
        <x:f>BOM!B28</x:f>
        <x:v>98.97000000000001</x:v>
      </x:c>
    </x:row>
    <x:row r="8">
      <x:c r="A8" s="40" t="str">
        <x:v>Budget remaining (USD)</x:v>
      </x:c>
      <x:c r="B8" s="44" t="n">
        <x:f>BOM!B30</x:f>
        <x:v>1.029999999999987</x:v>
      </x:c>
    </x:row>
    <x:row r="10" ht="40" customHeight="1">
      <x:c r="A10" s="50" t="str">
        <x:v>The BOM preserves the user-provided USD estimate. Verify the live listing price and delivery charge at checkout.</x:v>
      </x:c>
      <x:c r="B10" s="50"/>
      <x:c r="C10" s="50"/>
      <x:c r="D10" s="50"/>
    </x:row>
  </x:sheetData>
  <x:mergeCells>
    <x:mergeCell ref="A1:D1"/>
    <x:mergeCell ref="A10:D10"/>
  </x:mergeCells>
  <x:pageMargins left="0.7" right="0.7" top="0.75" bottom="0.75" header="0.3" footer="0.3"/>
</x:worksheet>
</file>